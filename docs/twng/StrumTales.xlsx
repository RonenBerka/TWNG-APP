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enberka/Desktop/STRUMTALES/"/>
    </mc:Choice>
  </mc:AlternateContent>
  <xr:revisionPtr revIDLastSave="0" documentId="13_ncr:1_{89B3BEB7-681E-A749-8876-F603BF34E069}" xr6:coauthVersionLast="47" xr6:coauthVersionMax="47" xr10:uidLastSave="{00000000-0000-0000-0000-000000000000}"/>
  <bookViews>
    <workbookView xWindow="2780" yWindow="1500" windowWidth="28040" windowHeight="17440" xr2:uid="{87B48358-B770-1E4F-8234-8FB450FDF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D9" i="1"/>
  <c r="D13" i="1" s="1"/>
  <c r="E9" i="1"/>
  <c r="E13" i="1" s="1"/>
  <c r="F9" i="1"/>
  <c r="F13" i="1" s="1"/>
  <c r="G9" i="1"/>
  <c r="G13" i="1" s="1"/>
  <c r="C9" i="1"/>
  <c r="C13" i="1" s="1"/>
  <c r="D16" i="1"/>
  <c r="D19" i="1" s="1"/>
  <c r="E16" i="1"/>
  <c r="E19" i="1" s="1"/>
  <c r="F16" i="1"/>
  <c r="F19" i="1" s="1"/>
  <c r="G16" i="1"/>
  <c r="G19" i="1" s="1"/>
  <c r="C16" i="1"/>
  <c r="C19" i="1" s="1"/>
  <c r="I9" i="1" l="1"/>
  <c r="I13" i="1" s="1"/>
  <c r="I17" i="1"/>
  <c r="I16" i="1"/>
  <c r="I19" i="1" s="1"/>
  <c r="G20" i="1"/>
  <c r="C20" i="1"/>
  <c r="C21" i="1" s="1"/>
  <c r="F20" i="1"/>
  <c r="E20" i="1"/>
  <c r="D20" i="1"/>
  <c r="I20" i="1" l="1"/>
  <c r="D21" i="1"/>
  <c r="E21" i="1" s="1"/>
  <c r="F21" i="1" s="1"/>
  <c r="G21" i="1" s="1"/>
</calcChain>
</file>

<file path=xl/sharedStrings.xml><?xml version="1.0" encoding="utf-8"?>
<sst xmlns="http://schemas.openxmlformats.org/spreadsheetml/2006/main" count="21" uniqueCount="21">
  <si>
    <t>Investments</t>
  </si>
  <si>
    <t>Expected Expenses</t>
  </si>
  <si>
    <t>Total Expenses</t>
  </si>
  <si>
    <t>Income Streams</t>
  </si>
  <si>
    <t>Total Income</t>
  </si>
  <si>
    <t>Net Profit/Loss</t>
  </si>
  <si>
    <t>Development (App &amp; Web)</t>
  </si>
  <si>
    <t>Reg Guitars</t>
  </si>
  <si>
    <t xml:space="preserve">Accumulative </t>
  </si>
  <si>
    <t>Customer Acquisition Cost (CAC)</t>
  </si>
  <si>
    <t>Partnerships with Brands</t>
  </si>
  <si>
    <t>Affiliate Sales/Ads</t>
  </si>
  <si>
    <t>Guitar Registration Fees</t>
  </si>
  <si>
    <t>Miscellaneous</t>
  </si>
  <si>
    <t>Partnerships &amp; Licensing</t>
  </si>
  <si>
    <t>Operations (Salaries, Rent)</t>
  </si>
  <si>
    <t>Marketing &amp; Sales</t>
  </si>
  <si>
    <t>Series A Funding</t>
  </si>
  <si>
    <t>Seed Funding</t>
  </si>
  <si>
    <t>Business Plan / Years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</si>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</sst>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₪&quot;* #,##0_);_(&quot;₪&quot;* \(#,##0\);_(&quot;₪&quot;* &quot;-&quot;_);_(@_)"/>
    <numFmt numFmtId="43" formatCode="_(* #,##0.00_);_(* \(#,##0.00\);_(* &quot;-&quot;??_);_(@_)"/>
    <numFmt numFmtId="164" formatCode="_([$$-409]* #,##0_);_([$$-409]* \(#,##0\);_([$$-409]* &quot;-&quot;??_);_(@_)"/>
    <numFmt numFmtId="165" formatCode="_(* #,##0_);_(* \(#,##0\);_(* &quot;-&quot;??_);_(@_)"/>
    <numFmt numFmtId="166" formatCode="_([$$-409]* #,##0.00_);_([$$-409]* \(#,##0.00\);_([$$-409]* &quot;-&quot;??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kayaKanadaka-Regular"/>
    </font>
    <font>
      <sz val="12"/>
      <color theme="1"/>
      <name val="Calibri Light"/>
      <family val="2"/>
      <scheme val="major"/>
    </font>
    <font>
      <i/>
      <sz val="15"/>
      <color theme="1"/>
      <name val="Calibri Light"/>
      <family val="2"/>
      <scheme val="major"/>
    </font>
    <font>
      <b/>
      <sz val="12"/>
      <color theme="1"/>
      <name val="AkayaKanadaka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1" applyNumberFormat="1" applyFont="1"/>
    <xf numFmtId="0" fontId="5" fillId="0" borderId="0" xfId="0" applyFont="1"/>
    <xf numFmtId="42" fontId="3" fillId="0" borderId="0" xfId="0" applyNumberFormat="1" applyFont="1"/>
    <xf numFmtId="166" fontId="3" fillId="0" borderId="0" xfId="0" applyNumberFormat="1" applyFont="1"/>
  </cellXfs>
  <cellStyles count="2">
    <cellStyle name="Comma" xfId="1" builtinId="3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kayaKanadaka-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kayaKanadaka-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5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kayaKanadaka-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kayaKanadaka-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48928-4D61-D343-A163-A1B901DC31D9}" name="Table1" displayName="Table1" ref="A2:I21" headerRowCount="0" totalsRowShown="0" headerRowDxfId="9" dataDxfId="10">
  <tableColumns count="9">
    <tableColumn id="1" xr3:uid="{82D374A4-23A9-E34A-8453-C629789C851E}" name="Column1" headerRowDxfId="0" dataDxfId="19"/>
    <tableColumn id="2" xr3:uid="{F7AE51E1-F91E-D14C-8091-539B6C002E3A}" name="Column2" headerRowDxfId="1" dataDxfId="18"/>
    <tableColumn id="3" xr3:uid="{4F906E2E-9D68-3341-B0B4-2C8732EB294D}" name="Column3" headerRowDxfId="2" dataDxfId="17"/>
    <tableColumn id="4" xr3:uid="{C94D9C27-2927-B046-8A98-8CFC499871B7}" name="Column4" headerRowDxfId="3" dataDxfId="16"/>
    <tableColumn id="5" xr3:uid="{0503FE0D-4372-6444-87C8-335A3DE14DF3}" name="Column5" headerRowDxfId="4" dataDxfId="15"/>
    <tableColumn id="6" xr3:uid="{AF85BE0C-994F-AB43-993D-42EBF6BDA1CA}" name="Column6" headerRowDxfId="5" dataDxfId="14"/>
    <tableColumn id="7" xr3:uid="{75953E2A-EA2D-DE46-8803-814059C05B2C}" name="Column7" headerRowDxfId="6" dataDxfId="13"/>
    <tableColumn id="8" xr3:uid="{5AADA83B-A618-F840-A493-75A167A9B077}" name="Column8" headerRowDxfId="7" dataDxfId="12"/>
    <tableColumn id="9" xr3:uid="{8016B82E-CA18-034F-A7FC-150D909DAB64}" name="Column9" headerRowDxfId="8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2721-5A85-9843-8608-CB8289BB5262}">
  <dimension ref="A1:I21"/>
  <sheetViews>
    <sheetView tabSelected="1" zoomScale="175" zoomScaleNormal="100" workbookViewId="0">
      <selection activeCell="D7" sqref="D7"/>
    </sheetView>
  </sheetViews>
  <sheetFormatPr baseColWidth="10" defaultRowHeight="23"/>
  <cols>
    <col min="1" max="1" width="28" style="1" bestFit="1" customWidth="1"/>
    <col min="2" max="2" width="11" style="1" bestFit="1" customWidth="1"/>
    <col min="3" max="3" width="11.6640625" style="1" bestFit="1" customWidth="1"/>
    <col min="4" max="4" width="12.6640625" style="1" bestFit="1" customWidth="1"/>
    <col min="5" max="5" width="11.6640625" style="1" bestFit="1" customWidth="1"/>
    <col min="6" max="6" width="12.1640625" style="1" bestFit="1" customWidth="1"/>
    <col min="7" max="7" width="12.5" style="1" bestFit="1" customWidth="1"/>
    <col min="8" max="8" width="10.5" style="1" customWidth="1"/>
    <col min="9" max="9" width="13.6640625" style="1" bestFit="1" customWidth="1"/>
    <col min="10" max="16384" width="10.83203125" style="1"/>
  </cols>
  <sheetData>
    <row r="1" spans="1:9">
      <c r="A1"/>
      <c r="B1"/>
      <c r="C1"/>
      <c r="D1"/>
      <c r="E1"/>
      <c r="F1"/>
      <c r="G1"/>
      <c r="H1"/>
      <c r="I1"/>
    </row>
    <row r="2" spans="1:9" ht="26">
      <c r="A2" s="6" t="s">
        <v>19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/>
      <c r="I2" s="3" t="s">
        <v>20</v>
      </c>
    </row>
    <row r="3" spans="1:9">
      <c r="A3" s="6" t="s">
        <v>0</v>
      </c>
      <c r="C3" s="2"/>
      <c r="D3" s="2"/>
      <c r="E3" s="2"/>
      <c r="F3" s="2"/>
      <c r="G3" s="2"/>
      <c r="H3" s="2"/>
      <c r="I3" s="2"/>
    </row>
    <row r="4" spans="1:9">
      <c r="A4" s="1" t="s">
        <v>18</v>
      </c>
      <c r="C4" s="4">
        <v>500000</v>
      </c>
      <c r="D4" s="4"/>
      <c r="E4" s="4"/>
      <c r="F4" s="4"/>
      <c r="G4" s="4"/>
      <c r="H4" s="4"/>
      <c r="I4" s="2"/>
    </row>
    <row r="5" spans="1:9">
      <c r="A5" s="1" t="s">
        <v>17</v>
      </c>
      <c r="C5" s="4"/>
      <c r="D5" s="4">
        <v>1500000</v>
      </c>
      <c r="E5" s="4"/>
      <c r="F5" s="4"/>
      <c r="G5" s="4"/>
      <c r="H5" s="4"/>
      <c r="I5" s="2"/>
    </row>
    <row r="6" spans="1:9">
      <c r="A6" s="1" t="s">
        <v>1</v>
      </c>
      <c r="C6" s="4"/>
      <c r="D6" s="4"/>
      <c r="E6" s="4"/>
      <c r="F6" s="4"/>
      <c r="G6" s="4"/>
      <c r="H6" s="4"/>
      <c r="I6" s="2"/>
    </row>
    <row r="7" spans="1:9">
      <c r="A7" s="1" t="s">
        <v>9</v>
      </c>
      <c r="C7" s="8">
        <v>8</v>
      </c>
      <c r="D7" s="8">
        <v>6</v>
      </c>
      <c r="E7" s="8">
        <v>5</v>
      </c>
      <c r="F7" s="8">
        <v>3.5</v>
      </c>
      <c r="G7" s="8">
        <v>3</v>
      </c>
      <c r="H7" s="8"/>
      <c r="I7" s="8">
        <v>2.5</v>
      </c>
    </row>
    <row r="8" spans="1:9">
      <c r="A8" s="1" t="s">
        <v>6</v>
      </c>
      <c r="C8" s="4">
        <v>200000</v>
      </c>
      <c r="D8" s="4">
        <v>100000</v>
      </c>
      <c r="E8" s="4">
        <v>100000</v>
      </c>
      <c r="F8" s="4">
        <v>100000</v>
      </c>
      <c r="G8" s="4">
        <v>100000</v>
      </c>
      <c r="H8" s="4"/>
      <c r="I8" s="7">
        <v>300000</v>
      </c>
    </row>
    <row r="9" spans="1:9">
      <c r="A9" s="1" t="s">
        <v>16</v>
      </c>
      <c r="C9" s="4">
        <f>C15*C7</f>
        <v>48000</v>
      </c>
      <c r="D9" s="4">
        <f t="shared" ref="D9:I9" si="0">D15*D7</f>
        <v>180000</v>
      </c>
      <c r="E9" s="4">
        <f t="shared" si="0"/>
        <v>600000</v>
      </c>
      <c r="F9" s="4">
        <f t="shared" si="0"/>
        <v>1260000</v>
      </c>
      <c r="G9" s="4">
        <f t="shared" si="0"/>
        <v>3240000</v>
      </c>
      <c r="H9" s="4"/>
      <c r="I9" s="4">
        <f t="shared" si="0"/>
        <v>12500000</v>
      </c>
    </row>
    <row r="10" spans="1:9">
      <c r="A10" s="1" t="s">
        <v>15</v>
      </c>
      <c r="C10" s="4">
        <v>200000</v>
      </c>
      <c r="D10" s="4">
        <v>200000</v>
      </c>
      <c r="E10" s="4">
        <v>200000</v>
      </c>
      <c r="F10" s="4">
        <v>200000</v>
      </c>
      <c r="G10" s="4">
        <v>200000</v>
      </c>
      <c r="H10" s="4"/>
      <c r="I10" s="4">
        <v>2000000</v>
      </c>
    </row>
    <row r="11" spans="1:9">
      <c r="A11" s="1" t="s">
        <v>14</v>
      </c>
      <c r="C11" s="4">
        <v>50000</v>
      </c>
      <c r="D11" s="4">
        <v>50000</v>
      </c>
      <c r="E11" s="4">
        <v>50000</v>
      </c>
      <c r="F11" s="4">
        <v>50000</v>
      </c>
      <c r="G11" s="4">
        <v>50000</v>
      </c>
      <c r="H11" s="4"/>
      <c r="I11" s="4">
        <v>500000</v>
      </c>
    </row>
    <row r="12" spans="1:9">
      <c r="A12" s="1" t="s">
        <v>13</v>
      </c>
      <c r="C12" s="4">
        <v>50000</v>
      </c>
      <c r="D12" s="4">
        <v>100000</v>
      </c>
      <c r="E12" s="4">
        <v>100000</v>
      </c>
      <c r="F12" s="4">
        <v>100000</v>
      </c>
      <c r="G12" s="4">
        <v>100000</v>
      </c>
      <c r="H12" s="4"/>
      <c r="I12" s="4">
        <v>500000</v>
      </c>
    </row>
    <row r="13" spans="1:9">
      <c r="A13" s="6" t="s">
        <v>2</v>
      </c>
      <c r="C13" s="4">
        <f>SUM(C8:C12)</f>
        <v>548000</v>
      </c>
      <c r="D13" s="4">
        <f t="shared" ref="D13:I13" si="1">SUM(D8:D12)</f>
        <v>630000</v>
      </c>
      <c r="E13" s="4">
        <f t="shared" si="1"/>
        <v>1050000</v>
      </c>
      <c r="F13" s="4">
        <f t="shared" si="1"/>
        <v>1710000</v>
      </c>
      <c r="G13" s="4">
        <f t="shared" si="1"/>
        <v>3690000</v>
      </c>
      <c r="H13" s="4"/>
      <c r="I13" s="4">
        <f t="shared" si="1"/>
        <v>15800000</v>
      </c>
    </row>
    <row r="14" spans="1:9">
      <c r="A14" s="6" t="s">
        <v>3</v>
      </c>
      <c r="C14" s="4"/>
      <c r="D14" s="4"/>
      <c r="E14" s="4"/>
      <c r="F14" s="4"/>
      <c r="G14" s="4"/>
      <c r="H14" s="4"/>
      <c r="I14" s="4"/>
    </row>
    <row r="15" spans="1:9">
      <c r="A15" s="1" t="s">
        <v>7</v>
      </c>
      <c r="C15" s="5">
        <v>6000</v>
      </c>
      <c r="D15" s="5">
        <v>30000</v>
      </c>
      <c r="E15" s="5">
        <v>120000</v>
      </c>
      <c r="F15" s="5">
        <v>360000</v>
      </c>
      <c r="G15" s="5">
        <v>1080000</v>
      </c>
      <c r="H15" s="5"/>
      <c r="I15" s="5">
        <v>5000000</v>
      </c>
    </row>
    <row r="16" spans="1:9">
      <c r="A16" s="1" t="s">
        <v>12</v>
      </c>
      <c r="B16" s="8">
        <v>8</v>
      </c>
      <c r="C16" s="4">
        <f>$B$16*C15</f>
        <v>48000</v>
      </c>
      <c r="D16" s="4">
        <f>$B$16*D15</f>
        <v>240000</v>
      </c>
      <c r="E16" s="4">
        <f>$B$16*E15</f>
        <v>960000</v>
      </c>
      <c r="F16" s="4">
        <f>$B$16*F15</f>
        <v>2880000</v>
      </c>
      <c r="G16" s="4">
        <f>$B$16*G15</f>
        <v>8640000</v>
      </c>
      <c r="H16" s="4"/>
      <c r="I16" s="4">
        <f>$B$16*I15</f>
        <v>40000000</v>
      </c>
    </row>
    <row r="17" spans="1:9">
      <c r="A17" s="1" t="s">
        <v>11</v>
      </c>
      <c r="C17" s="4">
        <v>0</v>
      </c>
      <c r="D17" s="4">
        <v>10000</v>
      </c>
      <c r="E17" s="4">
        <v>20000</v>
      </c>
      <c r="F17" s="4">
        <v>50000</v>
      </c>
      <c r="G17" s="4">
        <v>100000</v>
      </c>
      <c r="H17" s="4"/>
      <c r="I17" s="4">
        <f>I15/9</f>
        <v>555555.5555555555</v>
      </c>
    </row>
    <row r="18" spans="1:9">
      <c r="A18" s="1" t="s">
        <v>10</v>
      </c>
      <c r="C18" s="4">
        <v>0</v>
      </c>
      <c r="D18" s="4">
        <v>15000</v>
      </c>
      <c r="E18" s="4">
        <v>25000</v>
      </c>
      <c r="F18" s="4">
        <v>50000</v>
      </c>
      <c r="G18" s="4">
        <v>100000</v>
      </c>
      <c r="H18" s="4"/>
      <c r="I18" s="4">
        <f>I15/9</f>
        <v>555555.5555555555</v>
      </c>
    </row>
    <row r="19" spans="1:9">
      <c r="A19" s="6" t="s">
        <v>4</v>
      </c>
      <c r="C19" s="4">
        <f>SUM(C16:C18)</f>
        <v>48000</v>
      </c>
      <c r="D19" s="4">
        <f t="shared" ref="D19:I19" si="2">SUM(D16:D18)</f>
        <v>265000</v>
      </c>
      <c r="E19" s="4">
        <f t="shared" si="2"/>
        <v>1005000</v>
      </c>
      <c r="F19" s="4">
        <f t="shared" si="2"/>
        <v>2980000</v>
      </c>
      <c r="G19" s="4">
        <f t="shared" si="2"/>
        <v>8840000</v>
      </c>
      <c r="H19" s="4"/>
      <c r="I19" s="4">
        <f t="shared" si="2"/>
        <v>41111111.111111104</v>
      </c>
    </row>
    <row r="20" spans="1:9">
      <c r="A20" s="6" t="s">
        <v>5</v>
      </c>
      <c r="C20" s="4">
        <f>C19+C4-C13</f>
        <v>0</v>
      </c>
      <c r="D20" s="4">
        <f>D19+D5-D13</f>
        <v>1135000</v>
      </c>
      <c r="E20" s="4">
        <f>E19+E4-E13</f>
        <v>-45000</v>
      </c>
      <c r="F20" s="4">
        <f>F19+F4-F13</f>
        <v>1270000</v>
      </c>
      <c r="G20" s="4">
        <f>G19+G4-G13</f>
        <v>5150000</v>
      </c>
      <c r="H20" s="4"/>
      <c r="I20" s="4">
        <f>I19+I4-I13</f>
        <v>25311111.111111104</v>
      </c>
    </row>
    <row r="21" spans="1:9">
      <c r="A21" s="6" t="s">
        <v>8</v>
      </c>
      <c r="C21" s="4">
        <f>C20</f>
        <v>0</v>
      </c>
      <c r="D21" s="4">
        <f>D20+C21</f>
        <v>1135000</v>
      </c>
      <c r="E21" s="4">
        <f>E20+D21</f>
        <v>1090000</v>
      </c>
      <c r="F21" s="4">
        <f>F20+E21</f>
        <v>2360000</v>
      </c>
      <c r="G21" s="4">
        <f>G20+F21</f>
        <v>7510000</v>
      </c>
      <c r="H21" s="4"/>
      <c r="I21" s="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ronen berka</cp:lastModifiedBy>
  <dcterms:created xsi:type="dcterms:W3CDTF">2023-09-05T17:58:15Z</dcterms:created>
  <dcterms:modified xsi:type="dcterms:W3CDTF">2023-10-02T13:45:40Z</dcterms:modified>
</cp:coreProperties>
</file>